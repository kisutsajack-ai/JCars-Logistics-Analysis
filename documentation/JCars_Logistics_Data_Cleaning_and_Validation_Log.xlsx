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mba\Desktop\LuxDev Academy\JCars Logistics Power BI Business Intelligence Assessment\"/>
    </mc:Choice>
  </mc:AlternateContent>
  <xr:revisionPtr revIDLastSave="0" documentId="13_ncr:1_{BB3610F8-88AB-4196-BD0B-F500BA6539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ata Quality Audit" sheetId="2" r:id="rId2"/>
    <sheet name="Transformation Log" sheetId="3" r:id="rId3"/>
    <sheet name="Date Decisions" sheetId="4" r:id="rId4"/>
    <sheet name="Assumptions and Rates" sheetId="5" r:id="rId5"/>
    <sheet name="Valid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D23" i="1" s="1"/>
  <c r="B22" i="1"/>
  <c r="D22" i="1" s="1"/>
</calcChain>
</file>

<file path=xl/sharedStrings.xml><?xml version="1.0" encoding="utf-8"?>
<sst xmlns="http://schemas.openxmlformats.org/spreadsheetml/2006/main" count="721" uniqueCount="589">
  <si>
    <t>JCars Logistics Data Cleaning and Validation Log</t>
  </si>
  <si>
    <t>Project</t>
  </si>
  <si>
    <t>JCars Logistics Power BI Business Intelligence Assessment</t>
  </si>
  <si>
    <t>Prepared by</t>
  </si>
  <si>
    <t>Source file</t>
  </si>
  <si>
    <t>Jcars_data.csv</t>
  </si>
  <si>
    <t>Source size</t>
  </si>
  <si>
    <t>276 rows and 32 columns</t>
  </si>
  <si>
    <t>Prepared query</t>
  </si>
  <si>
    <t>Stg JCars Data</t>
  </si>
  <si>
    <t>Fact table</t>
  </si>
  <si>
    <t>FactSalesOrders</t>
  </si>
  <si>
    <t>Completion date</t>
  </si>
  <si>
    <t>Reporting currency</t>
  </si>
  <si>
    <t>Kenya shillings (KES)</t>
  </si>
  <si>
    <t>Date coverage</t>
  </si>
  <si>
    <t>2025 to 2026</t>
  </si>
  <si>
    <t>Final status</t>
  </si>
  <si>
    <t>Completed and quality checked</t>
  </si>
  <si>
    <t>Control</t>
  </si>
  <si>
    <t>Value</t>
  </si>
  <si>
    <t>Expected</t>
  </si>
  <si>
    <t>Result</t>
  </si>
  <si>
    <t>Source rows retained</t>
  </si>
  <si>
    <t>Passed</t>
  </si>
  <si>
    <t>Source columns profiled</t>
  </si>
  <si>
    <t>Significant quality categories</t>
  </si>
  <si>
    <t>&gt;=10</t>
  </si>
  <si>
    <t>Date issue orders</t>
  </si>
  <si>
    <t>Disclosed</t>
  </si>
  <si>
    <t>Passed with issues</t>
  </si>
  <si>
    <t>Revenue mismatch orders</t>
  </si>
  <si>
    <t>Transformation steps</t>
  </si>
  <si>
    <t>All completed</t>
  </si>
  <si>
    <t>Completed transformations</t>
  </si>
  <si>
    <t>Equals steps</t>
  </si>
  <si>
    <t>Workbook purpose</t>
  </si>
  <si>
    <t>This workbook is the row-level and transformation-level audit trail for the Power BI project. It records identified issues, completed cleaning actions, documented assumptions, manual date decisions and validation results. The original CSV remains unchanged.</t>
  </si>
  <si>
    <t>Data Quality Audit</t>
  </si>
  <si>
    <t>ID</t>
  </si>
  <si>
    <t>Area</t>
  </si>
  <si>
    <t>Finding</t>
  </si>
  <si>
    <t>Analytical risk</t>
  </si>
  <si>
    <t>Treatment</t>
  </si>
  <si>
    <t>Status</t>
  </si>
  <si>
    <t>DQ01</t>
  </si>
  <si>
    <t>Order identifiers</t>
  </si>
  <si>
    <t>Blank, placeholder and duplicate business IDs</t>
  </si>
  <si>
    <t>Unreliable order counting or joins</t>
  </si>
  <si>
    <t>Preserve Source Row ID; clean and flag source Order ID</t>
  </si>
  <si>
    <t>Complete</t>
  </si>
  <si>
    <t>DQ02</t>
  </si>
  <si>
    <t>Order dates</t>
  </si>
  <si>
    <t>Mixed formats, Excel serials, blanks and invalid dates</t>
  </si>
  <si>
    <t>Broken time analysis and relationships</t>
  </si>
  <si>
    <t>Controlled parsing, documented corrections and quality flags</t>
  </si>
  <si>
    <t>DQ03</t>
  </si>
  <si>
    <t>Delivery dates</t>
  </si>
  <si>
    <t>Mixed formats, serials, blanks and impossible dates</t>
  </si>
  <si>
    <t>Incorrect delivery duration</t>
  </si>
  <si>
    <t>Controlled parsing; unsupported values retained as null</t>
  </si>
  <si>
    <t>DQ04</t>
  </si>
  <si>
    <t>Date chronology</t>
  </si>
  <si>
    <t>Delivery date earlier than order date</t>
  </si>
  <si>
    <t>Negative delivery duration</t>
  </si>
  <si>
    <t>Flag Delivery Before Order Date and exclude from valid-duration measures</t>
  </si>
  <si>
    <t>DQ05</t>
  </si>
  <si>
    <t>Customer type</t>
  </si>
  <si>
    <t>Spelling, case and synonym variations</t>
  </si>
  <si>
    <t>Fragmented segment analysis</t>
  </si>
  <si>
    <t>Map to controlled customer categories</t>
  </si>
  <si>
    <t>DQ06</t>
  </si>
  <si>
    <t>Customer age</t>
  </si>
  <si>
    <t>Negative, zero, extreme, text and blank values</t>
  </si>
  <si>
    <t>Invalid age averages</t>
  </si>
  <si>
    <t>Parse plausible ages and flag invalid or not applicable</t>
  </si>
  <si>
    <t>DQ07</t>
  </si>
  <si>
    <t>Geography</t>
  </si>
  <si>
    <t>Region, county and city variants</t>
  </si>
  <si>
    <t>Split geographic totals</t>
  </si>
  <si>
    <t>Standardise spellings and abbreviations</t>
  </si>
  <si>
    <t>DQ08</t>
  </si>
  <si>
    <t>Branch</t>
  </si>
  <si>
    <t>Yard, branch and location variants</t>
  </si>
  <si>
    <t>Fragmented branch results</t>
  </si>
  <si>
    <t>Map to eight standard branch names</t>
  </si>
  <si>
    <t>DQ09</t>
  </si>
  <si>
    <t>Sales representative</t>
  </si>
  <si>
    <t>Typos, digits and spacing inconsistencies</t>
  </si>
  <si>
    <t>Split representative performance</t>
  </si>
  <si>
    <t>Clean and map to ten standard names</t>
  </si>
  <si>
    <t>DQ10</t>
  </si>
  <si>
    <t>Lead source</t>
  </si>
  <si>
    <t>Typos, case and synonym variations</t>
  </si>
  <si>
    <t>Misstated channel contribution</t>
  </si>
  <si>
    <t>Map to controlled lead-source values</t>
  </si>
  <si>
    <t>DQ11</t>
  </si>
  <si>
    <t>Vehicle make and model</t>
  </si>
  <si>
    <t>Brand and model spelling inconsistencies</t>
  </si>
  <si>
    <t>Fragmented vehicle rankings</t>
  </si>
  <si>
    <t>Standardise make and model values</t>
  </si>
  <si>
    <t>DQ12</t>
  </si>
  <si>
    <t>Vehicle attributes</t>
  </si>
  <si>
    <t>Vehicle type, fuel, transmission and colour variants</t>
  </si>
  <si>
    <t>Weak vehicle comparisons</t>
  </si>
  <si>
    <t>Standardise category values</t>
  </si>
  <si>
    <t>DQ13</t>
  </si>
  <si>
    <t>Vehicle year</t>
  </si>
  <si>
    <t>Text, malformed, implausible and future values</t>
  </si>
  <si>
    <t>Incorrect vehicle-age analysis</t>
  </si>
  <si>
    <t>Parse valid years and flag exceptions</t>
  </si>
  <si>
    <t>DQ14</t>
  </si>
  <si>
    <t>Units sold</t>
  </si>
  <si>
    <t>Words, labels, blanks, zero and negative values</t>
  </si>
  <si>
    <t>Incorrect volume and monetary calculations</t>
  </si>
  <si>
    <t>Convert supported text; null or flag invalid quantities</t>
  </si>
  <si>
    <t>DQ15</t>
  </si>
  <si>
    <t>Monetary formats</t>
  </si>
  <si>
    <t>Currency labels, commas, M suffixes and text tokens</t>
  </si>
  <si>
    <t>Values cannot aggregate reliably</t>
  </si>
  <si>
    <t>Separate currency and numeric components</t>
  </si>
  <si>
    <t>DQ16</t>
  </si>
  <si>
    <t>Mixed currencies</t>
  </si>
  <si>
    <t>KES, USD, EUR, ZAR and question-mark prefixes</t>
  </si>
  <si>
    <t>Incomparable financial totals</t>
  </si>
  <si>
    <t>Apply documented fixed rates and retain currency assumptions</t>
  </si>
  <si>
    <t>DQ17</t>
  </si>
  <si>
    <t>Discount</t>
  </si>
  <si>
    <t>Percent, decimal, whole-number and invalid formats</t>
  </si>
  <si>
    <t>Incorrect revenue and margin</t>
  </si>
  <si>
    <t>Standardise to a decimal rate</t>
  </si>
  <si>
    <t>DQ18</t>
  </si>
  <si>
    <t>Recorded revenue</t>
  </si>
  <si>
    <t>Missing, negative, zero and inconsistent values</t>
  </si>
  <si>
    <t>Potential financial misstatement</t>
  </si>
  <si>
    <t>Calculate independent revenue and classify variance</t>
  </si>
  <si>
    <t>DQ19</t>
  </si>
  <si>
    <t>Payment and delivery status</t>
  </si>
  <si>
    <t>Many synonyms and inconsistent labels</t>
  </si>
  <si>
    <t>Fragmented operational analysis</t>
  </si>
  <si>
    <t>Map to controlled statuses and Final Transaction Status</t>
  </si>
  <si>
    <t>DQ20</t>
  </si>
  <si>
    <t>Ratings and reviews</t>
  </si>
  <si>
    <t>Text ratings, out-of-range ratings and negative review counts</t>
  </si>
  <si>
    <t>Distorted customer metrics</t>
  </si>
  <si>
    <t>Extract valid values and flag invalid entries</t>
  </si>
  <si>
    <t>DQ21</t>
  </si>
  <si>
    <t>Returned field</t>
  </si>
  <si>
    <t>Boolean, yes/no, letters, text and blanks</t>
  </si>
  <si>
    <t>Incorrect return rate</t>
  </si>
  <si>
    <t>Map to True, False or Unknown</t>
  </si>
  <si>
    <t>Power Query Transformation Log</t>
  </si>
  <si>
    <t>Query or field</t>
  </si>
  <si>
    <t>Applied step or action</t>
  </si>
  <si>
    <t>Detailed treatment</t>
  </si>
  <si>
    <t>Reason</t>
  </si>
  <si>
    <t>Evidence or result</t>
  </si>
  <si>
    <t>PQ01</t>
  </si>
  <si>
    <t>Source</t>
  </si>
  <si>
    <t>Imported CSV and promoted headers</t>
  </si>
  <si>
    <t>Connected to Jcars_data.csv and retained 276 source rows</t>
  </si>
  <si>
    <t>Establish the source table</t>
  </si>
  <si>
    <t>276 rows, 32 columns</t>
  </si>
  <si>
    <t>PQ02</t>
  </si>
  <si>
    <t>Raw JCars Data</t>
  </si>
  <si>
    <t>Preserved raw query</t>
  </si>
  <si>
    <t>Renamed the original source query and disabled load</t>
  </si>
  <si>
    <t>Keep an unchanged audit source</t>
  </si>
  <si>
    <t>Raw query retained</t>
  </si>
  <si>
    <t>PQ03</t>
  </si>
  <si>
    <t>Created reference query</t>
  </si>
  <si>
    <t>Referenced Raw JCars Data for cleaning</t>
  </si>
  <si>
    <t>Separate source from transformation logic</t>
  </si>
  <si>
    <t>Staging query created</t>
  </si>
  <si>
    <t>PQ04</t>
  </si>
  <si>
    <t>All rows</t>
  </si>
  <si>
    <t>Added Source Row ID</t>
  </si>
  <si>
    <t>Added an index from 1</t>
  </si>
  <si>
    <t>Create a stable row-level audit key</t>
  </si>
  <si>
    <t>1 to 276</t>
  </si>
  <si>
    <t>PQ05</t>
  </si>
  <si>
    <t>Text fields</t>
  </si>
  <si>
    <t>Trimmed and cleaned text</t>
  </si>
  <si>
    <t>Removed leading, trailing and non-printing characters</t>
  </si>
  <si>
    <t>Prevent false category differences</t>
  </si>
  <si>
    <t>Text prepared before mapping</t>
  </si>
  <si>
    <t>PQ06</t>
  </si>
  <si>
    <t>All fields</t>
  </si>
  <si>
    <t>Standardised null markers</t>
  </si>
  <si>
    <t>Converted blanks and supported N/A-style tokens to null</t>
  </si>
  <si>
    <t>Distinguish missing values from text</t>
  </si>
  <si>
    <t>Nulls retained for audit</t>
  </si>
  <si>
    <t>PQ07</t>
  </si>
  <si>
    <t>Order ID</t>
  </si>
  <si>
    <t>Cleaned identifier</t>
  </si>
  <si>
    <t>Standardised casing and prefix presentation while retaining Source Row ID</t>
  </si>
  <si>
    <t>Improve readability without relying on a flawed business key</t>
  </si>
  <si>
    <t>Source Row ID used as audit key</t>
  </si>
  <si>
    <t>PQ08</t>
  </si>
  <si>
    <t>Customer Name</t>
  </si>
  <si>
    <t>Cleaned names</t>
  </si>
  <si>
    <t>Trimmed spacing and standardised presentation</t>
  </si>
  <si>
    <t>Support customer grouping</t>
  </si>
  <si>
    <t>Standard names</t>
  </si>
  <si>
    <t>PQ09</t>
  </si>
  <si>
    <t>Customer Type</t>
  </si>
  <si>
    <t>Mapped categories</t>
  </si>
  <si>
    <t>Mapped spelling, case and synonym variants</t>
  </si>
  <si>
    <t>Create stable customer segments</t>
  </si>
  <si>
    <t>Controlled categories</t>
  </si>
  <si>
    <t>PQ10</t>
  </si>
  <si>
    <t>Customer Age</t>
  </si>
  <si>
    <t>Parsed and validated ages</t>
  </si>
  <si>
    <t>Converted supported values; invalid or inapplicable values set to null or flagged</t>
  </si>
  <si>
    <t>Prevent invalid demographic averages</t>
  </si>
  <si>
    <t>Quality treatment applied</t>
  </si>
  <si>
    <t>PQ11</t>
  </si>
  <si>
    <t>Region, County, City</t>
  </si>
  <si>
    <t>Standardised geography</t>
  </si>
  <si>
    <t>Mapped spelling and abbreviation variants</t>
  </si>
  <si>
    <t>Support consistent geographic filtering</t>
  </si>
  <si>
    <t>Standard geography</t>
  </si>
  <si>
    <t>PQ12</t>
  </si>
  <si>
    <t>Mapped branch names</t>
  </si>
  <si>
    <t>Consolidated yard, branch and location variants</t>
  </si>
  <si>
    <t>Support branch comparison and dimension creation</t>
  </si>
  <si>
    <t>8 branches</t>
  </si>
  <si>
    <t>PQ13</t>
  </si>
  <si>
    <t>Sales Rep</t>
  </si>
  <si>
    <t>Mapped representative names</t>
  </si>
  <si>
    <t>Corrected typos, digits and spacing variants</t>
  </si>
  <si>
    <t>Prevent split representative totals</t>
  </si>
  <si>
    <t>10 representatives</t>
  </si>
  <si>
    <t>PQ14</t>
  </si>
  <si>
    <t>Lead Source</t>
  </si>
  <si>
    <t>Mapped lead sources</t>
  </si>
  <si>
    <t>Consolidated synonyms, typos and case variants</t>
  </si>
  <si>
    <t>Support acquisition-channel analysis</t>
  </si>
  <si>
    <t>PQ15</t>
  </si>
  <si>
    <t>Car Make and Car Model</t>
  </si>
  <si>
    <t>Standardised vehicle descriptions</t>
  </si>
  <si>
    <t>Corrected brand and model spelling and case</t>
  </si>
  <si>
    <t>Support consistent vehicle rankings</t>
  </si>
  <si>
    <t>Vehicle combinations prepared</t>
  </si>
  <si>
    <t>PQ16</t>
  </si>
  <si>
    <t>Vehicle Type</t>
  </si>
  <si>
    <t>Mapped vehicle types</t>
  </si>
  <si>
    <t>Consolidated type variants</t>
  </si>
  <si>
    <t>Support segment analysis</t>
  </si>
  <si>
    <t>Controlled vehicle types</t>
  </si>
  <si>
    <t>PQ17</t>
  </si>
  <si>
    <t>Vehicle Year</t>
  </si>
  <si>
    <t>Parsed and validated year</t>
  </si>
  <si>
    <t>Converted valid years; questionable values null or flagged</t>
  </si>
  <si>
    <t>Avoid distorted vehicle-year analysis</t>
  </si>
  <si>
    <t>PQ18</t>
  </si>
  <si>
    <t>Fuel, Transmission, Color</t>
  </si>
  <si>
    <t>Standardised attributes</t>
  </si>
  <si>
    <t>Mapped common abbreviations and spelling variants</t>
  </si>
  <si>
    <t>Improve vehicle comparisons</t>
  </si>
  <si>
    <t>Controlled attributes</t>
  </si>
  <si>
    <t>PQ19</t>
  </si>
  <si>
    <t>Units Sold</t>
  </si>
  <si>
    <t>Parsed quantity</t>
  </si>
  <si>
    <t>Converted supported numeric and text values to whole number; invalid quantities flagged</t>
  </si>
  <si>
    <t>Protect volume, revenue and cost calculations</t>
  </si>
  <si>
    <t>Whole-number field</t>
  </si>
  <si>
    <t>PQ20</t>
  </si>
  <si>
    <t>Monetary fields</t>
  </si>
  <si>
    <t>Extracted currency and amount</t>
  </si>
  <si>
    <t>Removed labels and separators, handled M suffixes and parsed decimals</t>
  </si>
  <si>
    <t>Create numeric values before conversion</t>
  </si>
  <si>
    <t>Five financial fields parsed</t>
  </si>
  <si>
    <t>PQ21</t>
  </si>
  <si>
    <t>Converted to KES</t>
  </si>
  <si>
    <t>Applied KES 1, USD 130, EUR 150 and ZAR 7.5</t>
  </si>
  <si>
    <t>Make values comparable</t>
  </si>
  <si>
    <t>KES reporting fields created</t>
  </si>
  <si>
    <t>PQ22</t>
  </si>
  <si>
    <t>Question-mark currency</t>
  </si>
  <si>
    <t>Applied USD assumption</t>
  </si>
  <si>
    <t>Treated question-mark prefixes as USD and documented the assumption</t>
  </si>
  <si>
    <t>Amounts followed the foreign-currency scale used in the dataset</t>
  </si>
  <si>
    <t>Converted at 130</t>
  </si>
  <si>
    <t>PQ23</t>
  </si>
  <si>
    <t>Standardised discount rate</t>
  </si>
  <si>
    <t>Converted percent, decimal and whole-number formats to decimal rate</t>
  </si>
  <si>
    <t>Protect revenue and margin calculations</t>
  </si>
  <si>
    <t>Decimal percentage</t>
  </si>
  <si>
    <t>PQ24</t>
  </si>
  <si>
    <t>Payment Method</t>
  </si>
  <si>
    <t>Mapped payment methods</t>
  </si>
  <si>
    <t>Standardised method variants</t>
  </si>
  <si>
    <t>Support contribution analysis</t>
  </si>
  <si>
    <t>PQ25</t>
  </si>
  <si>
    <t>Payment and Delivery Status</t>
  </si>
  <si>
    <t>Mapped operational statuses</t>
  </si>
  <si>
    <t>Consolidated status synonyms and created Final Transaction Status</t>
  </si>
  <si>
    <t>Separate active, returned, cancelled and refunded outcomes</t>
  </si>
  <si>
    <t>153 active, 73 returned, 42 cancelled, 8 refunded</t>
  </si>
  <si>
    <t>PQ26</t>
  </si>
  <si>
    <t>Customer Rating</t>
  </si>
  <si>
    <t>Parsed rating</t>
  </si>
  <si>
    <t>Extracted valid numeric ratings and flagged out-of-range values</t>
  </si>
  <si>
    <t>Create a reliable experience measure</t>
  </si>
  <si>
    <t>Average 3.59</t>
  </si>
  <si>
    <t>PQ27</t>
  </si>
  <si>
    <t>Review Count</t>
  </si>
  <si>
    <t>Parsed review count</t>
  </si>
  <si>
    <t>Converted valid counts and treated negatives or text as invalid</t>
  </si>
  <si>
    <t>Protect review-volume analysis</t>
  </si>
  <si>
    <t>PQ28</t>
  </si>
  <si>
    <t>Returned</t>
  </si>
  <si>
    <t>Mapped return indicator</t>
  </si>
  <si>
    <t>Mapped yes/no, Boolean and supported text to True, False or Unknown</t>
  </si>
  <si>
    <t>Create a stable return denominator</t>
  </si>
  <si>
    <t>256 known statuses</t>
  </si>
  <si>
    <t>PQ29</t>
  </si>
  <si>
    <t>Order Date</t>
  </si>
  <si>
    <t>Parsed and corrected dates</t>
  </si>
  <si>
    <t>Handled Excel serials and recognised text formats; applied documented row corrections</t>
  </si>
  <si>
    <t>Enable sales-time analysis</t>
  </si>
  <si>
    <t>Invalid or unsupported values retained as null</t>
  </si>
  <si>
    <t>PQ30</t>
  </si>
  <si>
    <t>Delivery Date</t>
  </si>
  <si>
    <t>Handled serials and text formats; applied documented end-of-month corrections</t>
  </si>
  <si>
    <t>Enable delivery analysis</t>
  </si>
  <si>
    <t>PQ31</t>
  </si>
  <si>
    <t>Dates</t>
  </si>
  <si>
    <t>Created date-quality fields</t>
  </si>
  <si>
    <t>Created Delivery Days and Date Validation Status using direct comparisons and null checks</t>
  </si>
  <si>
    <t>Expose missing, invalid and reversed dates</t>
  </si>
  <si>
    <t>48 date issue orders</t>
  </si>
  <si>
    <t>PQ32</t>
  </si>
  <si>
    <t>Revenue</t>
  </si>
  <si>
    <t>Calculated row revenue</t>
  </si>
  <si>
    <t>Units x Unit Selling Price KES x (1 - Discount Rate) + Delivery Fee KES</t>
  </si>
  <si>
    <t>Create an independent financial value</t>
  </si>
  <si>
    <t>Calculated Revenue KES</t>
  </si>
  <si>
    <t>PQ33</t>
  </si>
  <si>
    <t>Costs and profit</t>
  </si>
  <si>
    <t>Calculated row cost and profit</t>
  </si>
  <si>
    <t>Created prepared cost, gross profit and margin fields</t>
  </si>
  <si>
    <t>Support profitability analysis</t>
  </si>
  <si>
    <t>11 loss-making active orders</t>
  </si>
  <si>
    <t>PQ34</t>
  </si>
  <si>
    <t>Revenue validation</t>
  </si>
  <si>
    <t>Created validation status</t>
  </si>
  <si>
    <t>Compared calculated and recorded revenue where both were available</t>
  </si>
  <si>
    <t>Measure source financial reliability</t>
  </si>
  <si>
    <t>116 match, 123 mismatch, 37 cannot validate</t>
  </si>
  <si>
    <t>PQ35</t>
  </si>
  <si>
    <t>Created fact query</t>
  </si>
  <si>
    <t>Selected and renamed analytical columns, added dimension keys</t>
  </si>
  <si>
    <t>Create the central model table</t>
  </si>
  <si>
    <t>276 rows</t>
  </si>
  <si>
    <t>PQ36</t>
  </si>
  <si>
    <t>DimBranch</t>
  </si>
  <si>
    <t>Created dimension</t>
  </si>
  <si>
    <t>Selected unique branch and geography combinations and added Branch Key</t>
  </si>
  <si>
    <t>Create one-side branch filtering</t>
  </si>
  <si>
    <t>8 rows</t>
  </si>
  <si>
    <t>PQ37</t>
  </si>
  <si>
    <t>DimSalesRep</t>
  </si>
  <si>
    <t>Selected unique representatives and added Sales Rep Key</t>
  </si>
  <si>
    <t>Create one-side representative filtering</t>
  </si>
  <si>
    <t>10 rows</t>
  </si>
  <si>
    <t>PQ38</t>
  </si>
  <si>
    <t>DimVehicle</t>
  </si>
  <si>
    <t>Selected unique vehicle combinations and added Vehicle Key</t>
  </si>
  <si>
    <t>Create one-side vehicle filtering</t>
  </si>
  <si>
    <t>35 rows</t>
  </si>
  <si>
    <t>PQ39</t>
  </si>
  <si>
    <t>DimDate</t>
  </si>
  <si>
    <t>Created calendar table</t>
  </si>
  <si>
    <t>Created 730 continuous dates for 2025-2026 with year and month fields</t>
  </si>
  <si>
    <t>Support time intelligence</t>
  </si>
  <si>
    <t>Marked as Date table</t>
  </si>
  <si>
    <t>PQ40</t>
  </si>
  <si>
    <t>All output queries</t>
  </si>
  <si>
    <t>Applied final data types</t>
  </si>
  <si>
    <t>Set identifiers, dates, whole numbers, decimals, percentages and text types</t>
  </si>
  <si>
    <t>Prevent model and measure errors</t>
  </si>
  <si>
    <t>Refresh completed without errors</t>
  </si>
  <si>
    <t>Date Cleaning Decisions</t>
  </si>
  <si>
    <t>Source Row ID</t>
  </si>
  <si>
    <t>Original Order Date</t>
  </si>
  <si>
    <t>Original Delivery Date</t>
  </si>
  <si>
    <t>Final action</t>
  </si>
  <si>
    <t>Reason or assumption</t>
  </si>
  <si>
    <t>CAR1025</t>
  </si>
  <si>
    <t>Apr 16, 2025</t>
  </si>
  <si>
    <t>05/04/2025</t>
  </si>
  <si>
    <t>Retained; flag Delivery Before Order Date</t>
  </si>
  <si>
    <t>Both dates are valid but chronology is inconsistent</t>
  </si>
  <si>
    <t>Documented</t>
  </si>
  <si>
    <t>CAR1049</t>
  </si>
  <si>
    <t>09-Sept-25</t>
  </si>
  <si>
    <t>45914</t>
  </si>
  <si>
    <t>Parse Order Date as 09/09/2025</t>
  </si>
  <si>
    <t>Recognised month-name format</t>
  </si>
  <si>
    <t>Corrected</t>
  </si>
  <si>
    <t>ORD1078</t>
  </si>
  <si>
    <t>11/03/2026</t>
  </si>
  <si>
    <t>April 31 2026</t>
  </si>
  <si>
    <t>Correct Delivery Date to 30/04/2026</t>
  </si>
  <si>
    <t>April has 30 days and a valid order date exists</t>
  </si>
  <si>
    <t>CAR1154</t>
  </si>
  <si>
    <t>Blank</t>
  </si>
  <si>
    <t>31/02/2026</t>
  </si>
  <si>
    <t>Leave Delivery Date null</t>
  </si>
  <si>
    <t>No valid Order Date supports a reliable correction</t>
  </si>
  <si>
    <t>Documented null</t>
  </si>
  <si>
    <t>LCL-1172</t>
  </si>
  <si>
    <t>46122</t>
  </si>
  <si>
    <t>Correct Order Date to 28/02/2026</t>
  </si>
  <si>
    <t>February 2026 ends on the 28th and delivery evidence exists</t>
  </si>
  <si>
    <t>LC1188</t>
  </si>
  <si>
    <t>01/02/2025</t>
  </si>
  <si>
    <t>05-Jan-25</t>
  </si>
  <si>
    <t>Interpret Order Date as 02/01/2025</t>
  </si>
  <si>
    <t>Ambiguous slash date; this interpretation produces a plausible chronology</t>
  </si>
  <si>
    <t>Assumption</t>
  </si>
  <si>
    <t>ord1194</t>
  </si>
  <si>
    <t>07/10/2025</t>
  </si>
  <si>
    <t>Correct Delivery Date to 28/02/2026</t>
  </si>
  <si>
    <t>February 2026 ends on the 28th and a valid Order Date exists</t>
  </si>
  <si>
    <t>LC1200</t>
  </si>
  <si>
    <t>N/A</t>
  </si>
  <si>
    <t>Leave Order Date null</t>
  </si>
  <si>
    <t>No Delivery Date or other evidence supports a correction</t>
  </si>
  <si>
    <t>LC1208</t>
  </si>
  <si>
    <t>45772</t>
  </si>
  <si>
    <t>April has 30 days and a valid Order Date exists</t>
  </si>
  <si>
    <t>CAR1209</t>
  </si>
  <si>
    <t>24-Sept-25</t>
  </si>
  <si>
    <t>24/10/2025</t>
  </si>
  <si>
    <t>Parse Order Date as 24/09/2025</t>
  </si>
  <si>
    <t>ord1229</t>
  </si>
  <si>
    <t>03-Jun-26</t>
  </si>
  <si>
    <t>31-May-26</t>
  </si>
  <si>
    <t>LCL1236</t>
  </si>
  <si>
    <t>45917</t>
  </si>
  <si>
    <t>45903</t>
  </si>
  <si>
    <t>Both Excel serials are valid but chronology is inconsistent</t>
  </si>
  <si>
    <t>LC1257</t>
  </si>
  <si>
    <t>01/12/2026</t>
  </si>
  <si>
    <t>46042</t>
  </si>
  <si>
    <t>Interpret Order Date as 12/01/2026</t>
  </si>
  <si>
    <t>Ambiguous slash date; delivery chronology supports month/day interpretation</t>
  </si>
  <si>
    <t>LC1260</t>
  </si>
  <si>
    <t>2026-13-04</t>
  </si>
  <si>
    <t>45922</t>
  </si>
  <si>
    <t>Flag for date-quality review</t>
  </si>
  <si>
    <t>Malformed source date and chronology require caution</t>
  </si>
  <si>
    <t>ORD1269</t>
  </si>
  <si>
    <t>46134</t>
  </si>
  <si>
    <t>Changing to 30 April would still place delivery before order</t>
  </si>
  <si>
    <t>Assumptions, Business Rules and Exchange Rates</t>
  </si>
  <si>
    <t>Currency</t>
  </si>
  <si>
    <t>KES per unit</t>
  </si>
  <si>
    <t>Source or basis</t>
  </si>
  <si>
    <t>KES or KSh</t>
  </si>
  <si>
    <t>Retain as KES</t>
  </si>
  <si>
    <t>No currency label</t>
  </si>
  <si>
    <t>Assume KES</t>
  </si>
  <si>
    <t>Explicit assessment instruction</t>
  </si>
  <si>
    <t>USD or $</t>
  </si>
  <si>
    <t>Convert to KES</t>
  </si>
  <si>
    <t>EUR</t>
  </si>
  <si>
    <t>ZAR or R</t>
  </si>
  <si>
    <t>Question-mark prefix</t>
  </si>
  <si>
    <t>Treat as USD</t>
  </si>
  <si>
    <t>Dataset-specific documented assumption based on amount scale</t>
  </si>
  <si>
    <t>Rule ID</t>
  </si>
  <si>
    <t>Topic</t>
  </si>
  <si>
    <t>Final rule</t>
  </si>
  <si>
    <t>A01</t>
  </si>
  <si>
    <t>Dataset grain</t>
  </si>
  <si>
    <t>One row is one order record or order line; Source Row ID is the audit key</t>
  </si>
  <si>
    <t>Order ID contains blanks and duplicates</t>
  </si>
  <si>
    <t>A02</t>
  </si>
  <si>
    <t>Calculated revenue</t>
  </si>
  <si>
    <t>Units Sold x Unit Selling Price KES x (1 - Discount Rate) + Delivery Fee KES</t>
  </si>
  <si>
    <t>Independent validation of recorded revenue</t>
  </si>
  <si>
    <t>A03</t>
  </si>
  <si>
    <t>Active sale</t>
  </si>
  <si>
    <t>Final Transaction Status equals Active Sale</t>
  </si>
  <si>
    <t>Exclude returned, cancelled and refunded outcomes from active KPIs</t>
  </si>
  <si>
    <t>A04</t>
  </si>
  <si>
    <t>Loss-making order</t>
  </si>
  <si>
    <t>Active order with Calculated Gross Profit KES below zero</t>
  </si>
  <si>
    <t>Identify commercially concerning orders</t>
  </si>
  <si>
    <t>A05</t>
  </si>
  <si>
    <t>Valid delivery duration</t>
  </si>
  <si>
    <t>Both dates valid and Delivery Date is not before Order Date</t>
  </si>
  <si>
    <t>Prevent negative duration from entering averages</t>
  </si>
  <si>
    <t>A06</t>
  </si>
  <si>
    <t>On-time delivery</t>
  </si>
  <si>
    <t>Valid delivered order completed within 30 days</t>
  </si>
  <si>
    <t>Service-level rule used in the report</t>
  </si>
  <si>
    <t>A07</t>
  </si>
  <si>
    <t>Return rate</t>
  </si>
  <si>
    <t>Returned Orders divided by Orders with Known Return Status</t>
  </si>
  <si>
    <t>Exclude unknown return statuses from the denominator</t>
  </si>
  <si>
    <t>A08</t>
  </si>
  <si>
    <t>Revenue match rate</t>
  </si>
  <si>
    <t>Matches divided by Matches plus Mismatches</t>
  </si>
  <si>
    <t>Exclude records that cannot be validated</t>
  </si>
  <si>
    <t>A09</t>
  </si>
  <si>
    <t>Date correction</t>
  </si>
  <si>
    <t>Correct impossible end-of-month dates only when another valid date supports the decision</t>
  </si>
  <si>
    <t>Avoid unsupported assumptions</t>
  </si>
  <si>
    <t>A10</t>
  </si>
  <si>
    <t>Unknown values</t>
  </si>
  <si>
    <t>Retain as null or Unknown and report through quality measures</t>
  </si>
  <si>
    <t>Preserve source records and uncertainty</t>
  </si>
  <si>
    <t>Exchange-rate reference: Central Bank of Kenya Foreign Exchange Rates, accessed 23 September 2026. https://www.centralbank.go.ke/rates/forex-exchange-rates/  The rates applied in the model are fixed rounded educational assumptions, not transaction-date accounting rates.</t>
  </si>
  <si>
    <t>Final Validation Results</t>
  </si>
  <si>
    <t>Validation check</t>
  </si>
  <si>
    <t>Expected result</t>
  </si>
  <si>
    <t>Actual evidence</t>
  </si>
  <si>
    <t>V01</t>
  </si>
  <si>
    <t>Source row count</t>
  </si>
  <si>
    <t>276 rows retained</t>
  </si>
  <si>
    <t>276 rows in FactSalesOrders</t>
  </si>
  <si>
    <t>V02</t>
  </si>
  <si>
    <t>Data types</t>
  </si>
  <si>
    <t>Correct date, number, percentage and text types</t>
  </si>
  <si>
    <t>Reviewed and refresh completed without type errors</t>
  </si>
  <si>
    <t>V03</t>
  </si>
  <si>
    <t>Audit key remains unique</t>
  </si>
  <si>
    <t>Source Row ID 1 to 276 retained</t>
  </si>
  <si>
    <t>V04</t>
  </si>
  <si>
    <t>Date table</t>
  </si>
  <si>
    <t>Continuous and unique date values</t>
  </si>
  <si>
    <t>730 dates covering 2025-2026; marked as Date table</t>
  </si>
  <si>
    <t>V05</t>
  </si>
  <si>
    <t>Date validation</t>
  </si>
  <si>
    <t>Issues disclosed, not silently removed</t>
  </si>
  <si>
    <t>V06</t>
  </si>
  <si>
    <t>All records classified</t>
  </si>
  <si>
    <t>116 Match, 123 Mismatch, 37 Cannot Validate</t>
  </si>
  <si>
    <t>V07</t>
  </si>
  <si>
    <t>Transaction status</t>
  </si>
  <si>
    <t>Every record classified once</t>
  </si>
  <si>
    <t>153 Active, 73 Returned, 42 Cancelled, 8 Refunded</t>
  </si>
  <si>
    <t>V08</t>
  </si>
  <si>
    <t>Relationship integrity</t>
  </si>
  <si>
    <t>Dimensions filter fact table correctly</t>
  </si>
  <si>
    <t>Many-to-one, single-direction relationships verified</t>
  </si>
  <si>
    <t>V09</t>
  </si>
  <si>
    <t>Headline measures</t>
  </si>
  <si>
    <t>Values match final baseline</t>
  </si>
  <si>
    <t>Active revenue 905.0M; cost 804.7M; profit 99.2M; margin 11.65%</t>
  </si>
  <si>
    <t>V10</t>
  </si>
  <si>
    <t>Delivery measures</t>
  </si>
  <si>
    <t>Valid denominator used</t>
  </si>
  <si>
    <t>113 on-time of 123 valid delivered orders = 91.87%</t>
  </si>
  <si>
    <t>V11</t>
  </si>
  <si>
    <t>Return measures</t>
  </si>
  <si>
    <t>Unknown statuses excluded</t>
  </si>
  <si>
    <t>88 returned of 256 known = 34.38%</t>
  </si>
  <si>
    <t>V12</t>
  </si>
  <si>
    <t>Refresh</t>
  </si>
  <si>
    <t>No query or model refresh errors</t>
  </si>
  <si>
    <t>Final refresh completed</t>
  </si>
  <si>
    <t>V13</t>
  </si>
  <si>
    <t>Slicers</t>
  </si>
  <si>
    <t>Year, Region, Branch and Vehicle Type filter correctly</t>
  </si>
  <si>
    <t>Tested across four main analysis pages</t>
  </si>
  <si>
    <t>V14</t>
  </si>
  <si>
    <t>Navigation</t>
  </si>
  <si>
    <t>All visible pages reachable</t>
  </si>
  <si>
    <t>Page Navigator tested</t>
  </si>
  <si>
    <t>V15</t>
  </si>
  <si>
    <t>Drill-through</t>
  </si>
  <si>
    <t>Selected branch context transferred</t>
  </si>
  <si>
    <t>Branch Details tested with Kakamega Yard</t>
  </si>
  <si>
    <t>V16</t>
  </si>
  <si>
    <t>Tooltip</t>
  </si>
  <si>
    <t>Vehicle context displayed correctly</t>
  </si>
  <si>
    <t>Vehicle Tooltip tested on multiple vehicle types</t>
  </si>
  <si>
    <t>V17</t>
  </si>
  <si>
    <t>Visual quality</t>
  </si>
  <si>
    <t>No unintended blanks, overlaps or truncated critical titles</t>
  </si>
  <si>
    <t>All pages and exported PDF reviewed</t>
  </si>
  <si>
    <t>Jack Kisutsa</t>
  </si>
  <si>
    <t>Rounded fixed project rate; CBK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</si>
</sst>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name val="Carlito"/>
    </font>
    <font>
      <sz val="10"/>
      <color rgb="FF222222"/>
      <name val="Arial"/>
    </font>
    <font>
      <b/>
      <sz val="16"/>
      <color rgb="FF000000"/>
      <name val="Arial"/>
    </font>
    <font>
      <b/>
      <sz val="10"/>
      <color rgb="FFFFFFFF"/>
      <name val="Arial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0FA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4458B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2" fontId="1" fillId="0" borderId="2" xfId="0" applyNumberFormat="1" applyFont="1" applyBorder="1" applyAlignment="1">
      <alignment vertical="center" wrapText="1"/>
    </xf>
    <xf numFmtId="2" fontId="1" fillId="3" borderId="2" xfId="0" applyNumberFormat="1" applyFont="1" applyFill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5" borderId="0" xfId="0" applyFont="1" applyFill="1" applyAlignment="1">
      <alignment wrapText="1"/>
    </xf>
    <xf numFmtId="0" fontId="4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Z200"/>
  <sheetViews>
    <sheetView showGridLines="0" tabSelected="1" workbookViewId="0">
      <pane ySplit="3" topLeftCell="A10" activePane="bottomLeft" state="frozen"/>
      <selection pane="bottomLeft" activeCell="H20" sqref="H20"/>
    </sheetView>
  </sheetViews>
  <sheetFormatPr defaultRowHeight="14"/>
  <cols>
    <col min="1" max="1" width="24" customWidth="1"/>
    <col min="2" max="2" width="41.75" customWidth="1"/>
    <col min="3" max="3" width="18" customWidth="1"/>
    <col min="4" max="4" width="20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" customHeight="1">
      <c r="A2" s="13" t="s">
        <v>0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</v>
      </c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3</v>
      </c>
      <c r="B6" s="4" t="s">
        <v>587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4</v>
      </c>
      <c r="B7" s="4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6</v>
      </c>
      <c r="B8" s="4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</v>
      </c>
      <c r="B9" s="4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4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12</v>
      </c>
      <c r="B11" s="5">
        <v>46288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13</v>
      </c>
      <c r="B12" s="4" t="s">
        <v>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15</v>
      </c>
      <c r="B13" s="4" t="s">
        <v>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17</v>
      </c>
      <c r="B14" s="4" t="s">
        <v>18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6" t="s">
        <v>19</v>
      </c>
      <c r="B16" s="6" t="s">
        <v>20</v>
      </c>
      <c r="C16" s="6" t="s">
        <v>21</v>
      </c>
      <c r="D16" s="6" t="s">
        <v>22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7" t="s">
        <v>23</v>
      </c>
      <c r="B17" s="7">
        <v>276</v>
      </c>
      <c r="C17" s="7">
        <v>276</v>
      </c>
      <c r="D17" s="9" t="s">
        <v>24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8" t="s">
        <v>25</v>
      </c>
      <c r="B18" s="8">
        <v>32</v>
      </c>
      <c r="C18" s="8">
        <v>32</v>
      </c>
      <c r="D18" s="9" t="s">
        <v>24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7" t="s">
        <v>26</v>
      </c>
      <c r="B19" s="7">
        <v>21</v>
      </c>
      <c r="C19" s="7" t="s">
        <v>27</v>
      </c>
      <c r="D19" s="9" t="s">
        <v>24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8" t="s">
        <v>28</v>
      </c>
      <c r="B20" s="8">
        <v>48</v>
      </c>
      <c r="C20" s="8" t="s">
        <v>29</v>
      </c>
      <c r="D20" s="10" t="s">
        <v>30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7" t="s">
        <v>31</v>
      </c>
      <c r="B21" s="7">
        <v>123</v>
      </c>
      <c r="C21" s="7" t="s">
        <v>29</v>
      </c>
      <c r="D21" s="10" t="s">
        <v>30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8" t="s">
        <v>32</v>
      </c>
      <c r="B22" s="8">
        <f>COUNTA('Transformation Log'!A6:A100)</f>
        <v>40</v>
      </c>
      <c r="C22" s="8" t="s">
        <v>33</v>
      </c>
      <c r="D22" s="9" t="str">
        <f>IF(B22=B23,"Passed","Review")</f>
        <v>Passed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7" t="s">
        <v>34</v>
      </c>
      <c r="B23" s="7">
        <f>COUNTIF('Transformation Log'!F6:F100,"Complete")</f>
        <v>40</v>
      </c>
      <c r="C23" s="7" t="s">
        <v>35</v>
      </c>
      <c r="D23" s="9" t="str">
        <f>IF(B23=B22,"Passed","Review")</f>
        <v>Passed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6" t="s">
        <v>36</v>
      </c>
      <c r="B25" s="14"/>
      <c r="C25" s="14"/>
      <c r="D25" s="14"/>
      <c r="E25" s="14"/>
      <c r="F25" s="14"/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7" t="s">
        <v>37</v>
      </c>
      <c r="B26" s="17"/>
      <c r="C26" s="17"/>
      <c r="D26" s="17"/>
      <c r="E26" s="17"/>
      <c r="F26" s="17"/>
      <c r="G26" s="17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7"/>
      <c r="B27" s="17"/>
      <c r="C27" s="17"/>
      <c r="D27" s="17"/>
      <c r="E27" s="17"/>
      <c r="F27" s="17"/>
      <c r="G27" s="17"/>
      <c r="H27" s="1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7"/>
      <c r="B28" s="17"/>
      <c r="C28" s="17"/>
      <c r="D28" s="17"/>
      <c r="E28" s="17"/>
      <c r="F28" s="17"/>
      <c r="G28" s="17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">
    <mergeCell ref="A2:H2"/>
    <mergeCell ref="A25:H25"/>
    <mergeCell ref="A26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58B8"/>
  </sheetPr>
  <dimension ref="A1:Z200"/>
  <sheetViews>
    <sheetView showGridLines="0" workbookViewId="0">
      <pane ySplit="5" topLeftCell="A6" activePane="bottomLeft" state="frozen"/>
      <selection pane="bottomLeft" activeCell="B7" sqref="B7"/>
    </sheetView>
  </sheetViews>
  <sheetFormatPr defaultRowHeight="14"/>
  <cols>
    <col min="1" max="1" width="10" customWidth="1"/>
    <col min="2" max="2" width="22" customWidth="1"/>
    <col min="3" max="3" width="42" customWidth="1"/>
    <col min="4" max="4" width="35" customWidth="1"/>
    <col min="5" max="5" width="45" customWidth="1"/>
    <col min="6" max="6" width="14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5" customHeight="1">
      <c r="A2" s="13" t="s">
        <v>38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9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8" t="s">
        <v>51</v>
      </c>
      <c r="B7" s="8" t="s">
        <v>52</v>
      </c>
      <c r="C7" s="8" t="s">
        <v>53</v>
      </c>
      <c r="D7" s="8" t="s">
        <v>54</v>
      </c>
      <c r="E7" s="8" t="s">
        <v>55</v>
      </c>
      <c r="F7" s="9" t="s">
        <v>50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7" t="s">
        <v>56</v>
      </c>
      <c r="B8" s="7" t="s">
        <v>57</v>
      </c>
      <c r="C8" s="7" t="s">
        <v>58</v>
      </c>
      <c r="D8" s="7" t="s">
        <v>59</v>
      </c>
      <c r="E8" s="7" t="s">
        <v>60</v>
      </c>
      <c r="F8" s="9" t="s">
        <v>50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8" t="s">
        <v>61</v>
      </c>
      <c r="B9" s="8" t="s">
        <v>62</v>
      </c>
      <c r="C9" s="8" t="s">
        <v>63</v>
      </c>
      <c r="D9" s="8" t="s">
        <v>64</v>
      </c>
      <c r="E9" s="8" t="s">
        <v>65</v>
      </c>
      <c r="F9" s="9" t="s">
        <v>50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7" t="s">
        <v>66</v>
      </c>
      <c r="B10" s="7" t="s">
        <v>67</v>
      </c>
      <c r="C10" s="7" t="s">
        <v>68</v>
      </c>
      <c r="D10" s="7" t="s">
        <v>69</v>
      </c>
      <c r="E10" s="7" t="s">
        <v>70</v>
      </c>
      <c r="F10" s="9" t="s">
        <v>50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8" t="s">
        <v>71</v>
      </c>
      <c r="B11" s="8" t="s">
        <v>72</v>
      </c>
      <c r="C11" s="8" t="s">
        <v>73</v>
      </c>
      <c r="D11" s="8" t="s">
        <v>74</v>
      </c>
      <c r="E11" s="8" t="s">
        <v>75</v>
      </c>
      <c r="F11" s="9" t="s">
        <v>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7" t="s">
        <v>76</v>
      </c>
      <c r="B12" s="7" t="s">
        <v>77</v>
      </c>
      <c r="C12" s="7" t="s">
        <v>78</v>
      </c>
      <c r="D12" s="7" t="s">
        <v>79</v>
      </c>
      <c r="E12" s="7" t="s">
        <v>80</v>
      </c>
      <c r="F12" s="9" t="s">
        <v>50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8" t="s">
        <v>81</v>
      </c>
      <c r="B13" s="8" t="s">
        <v>82</v>
      </c>
      <c r="C13" s="8" t="s">
        <v>83</v>
      </c>
      <c r="D13" s="8" t="s">
        <v>84</v>
      </c>
      <c r="E13" s="8" t="s">
        <v>85</v>
      </c>
      <c r="F13" s="9" t="s">
        <v>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7" t="s">
        <v>86</v>
      </c>
      <c r="B14" s="7" t="s">
        <v>87</v>
      </c>
      <c r="C14" s="7" t="s">
        <v>88</v>
      </c>
      <c r="D14" s="7" t="s">
        <v>89</v>
      </c>
      <c r="E14" s="7" t="s">
        <v>90</v>
      </c>
      <c r="F14" s="9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8" t="s">
        <v>91</v>
      </c>
      <c r="B15" s="8" t="s">
        <v>92</v>
      </c>
      <c r="C15" s="8" t="s">
        <v>93</v>
      </c>
      <c r="D15" s="8" t="s">
        <v>94</v>
      </c>
      <c r="E15" s="8" t="s">
        <v>95</v>
      </c>
      <c r="F15" s="9" t="s">
        <v>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7" t="s">
        <v>96</v>
      </c>
      <c r="B16" s="7" t="s">
        <v>97</v>
      </c>
      <c r="C16" s="7" t="s">
        <v>98</v>
      </c>
      <c r="D16" s="7" t="s">
        <v>99</v>
      </c>
      <c r="E16" s="7" t="s">
        <v>100</v>
      </c>
      <c r="F16" s="9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8" t="s">
        <v>101</v>
      </c>
      <c r="B17" s="8" t="s">
        <v>102</v>
      </c>
      <c r="C17" s="8" t="s">
        <v>103</v>
      </c>
      <c r="D17" s="8" t="s">
        <v>104</v>
      </c>
      <c r="E17" s="8" t="s">
        <v>105</v>
      </c>
      <c r="F17" s="9" t="s">
        <v>50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7" t="s">
        <v>106</v>
      </c>
      <c r="B18" s="7" t="s">
        <v>107</v>
      </c>
      <c r="C18" s="7" t="s">
        <v>108</v>
      </c>
      <c r="D18" s="7" t="s">
        <v>109</v>
      </c>
      <c r="E18" s="7" t="s">
        <v>110</v>
      </c>
      <c r="F18" s="9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8" t="s">
        <v>111</v>
      </c>
      <c r="B19" s="8" t="s">
        <v>112</v>
      </c>
      <c r="C19" s="8" t="s">
        <v>113</v>
      </c>
      <c r="D19" s="8" t="s">
        <v>114</v>
      </c>
      <c r="E19" s="8" t="s">
        <v>115</v>
      </c>
      <c r="F19" s="9" t="s"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7" t="s">
        <v>116</v>
      </c>
      <c r="B20" s="7" t="s">
        <v>117</v>
      </c>
      <c r="C20" s="7" t="s">
        <v>118</v>
      </c>
      <c r="D20" s="7" t="s">
        <v>119</v>
      </c>
      <c r="E20" s="7" t="s">
        <v>120</v>
      </c>
      <c r="F20" s="9" t="s">
        <v>50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.5" customHeight="1">
      <c r="A21" s="8" t="s">
        <v>121</v>
      </c>
      <c r="B21" s="8" t="s">
        <v>122</v>
      </c>
      <c r="C21" s="8" t="s">
        <v>123</v>
      </c>
      <c r="D21" s="8" t="s">
        <v>124</v>
      </c>
      <c r="E21" s="8" t="s">
        <v>125</v>
      </c>
      <c r="F21" s="9" t="s">
        <v>50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7" t="s">
        <v>126</v>
      </c>
      <c r="B22" s="7" t="s">
        <v>127</v>
      </c>
      <c r="C22" s="7" t="s">
        <v>128</v>
      </c>
      <c r="D22" s="7" t="s">
        <v>129</v>
      </c>
      <c r="E22" s="7" t="s">
        <v>130</v>
      </c>
      <c r="F22" s="9" t="s">
        <v>50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8" t="s">
        <v>131</v>
      </c>
      <c r="B23" s="8" t="s">
        <v>132</v>
      </c>
      <c r="C23" s="8" t="s">
        <v>133</v>
      </c>
      <c r="D23" s="8" t="s">
        <v>134</v>
      </c>
      <c r="E23" s="8" t="s">
        <v>135</v>
      </c>
      <c r="F23" s="9" t="s">
        <v>50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7" t="s">
        <v>136</v>
      </c>
      <c r="B24" s="7" t="s">
        <v>137</v>
      </c>
      <c r="C24" s="7" t="s">
        <v>138</v>
      </c>
      <c r="D24" s="7" t="s">
        <v>139</v>
      </c>
      <c r="E24" s="7" t="s">
        <v>140</v>
      </c>
      <c r="F24" s="9" t="s">
        <v>50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5" customHeight="1">
      <c r="A25" s="8" t="s">
        <v>141</v>
      </c>
      <c r="B25" s="8" t="s">
        <v>142</v>
      </c>
      <c r="C25" s="8" t="s">
        <v>143</v>
      </c>
      <c r="D25" s="8" t="s">
        <v>144</v>
      </c>
      <c r="E25" s="8" t="s">
        <v>145</v>
      </c>
      <c r="F25" s="9" t="s">
        <v>50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7" t="s">
        <v>146</v>
      </c>
      <c r="B26" s="7" t="s">
        <v>147</v>
      </c>
      <c r="C26" s="7" t="s">
        <v>148</v>
      </c>
      <c r="D26" s="7" t="s">
        <v>149</v>
      </c>
      <c r="E26" s="7" t="s">
        <v>150</v>
      </c>
      <c r="F26" s="9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58B8"/>
  </sheetPr>
  <dimension ref="A1:Z200"/>
  <sheetViews>
    <sheetView showGridLines="0" workbookViewId="0">
      <pane ySplit="5" topLeftCell="A40" activePane="bottomLeft" state="frozen"/>
      <selection pane="bottomLeft"/>
    </sheetView>
  </sheetViews>
  <sheetFormatPr defaultRowHeight="14"/>
  <cols>
    <col min="1" max="1" width="9" customWidth="1"/>
    <col min="2" max="2" width="25" customWidth="1"/>
    <col min="3" max="3" width="30" customWidth="1"/>
    <col min="4" max="4" width="55" customWidth="1"/>
    <col min="5" max="5" width="42" customWidth="1"/>
    <col min="6" max="6" width="13" customWidth="1"/>
    <col min="7" max="7" width="3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5" customHeight="1">
      <c r="A2" s="13" t="s">
        <v>151</v>
      </c>
      <c r="B2" s="14"/>
      <c r="C2" s="14"/>
      <c r="D2" s="14"/>
      <c r="E2" s="14"/>
      <c r="F2" s="14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2"/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6" t="s">
        <v>39</v>
      </c>
      <c r="B5" s="6" t="s">
        <v>152</v>
      </c>
      <c r="C5" s="6" t="s">
        <v>153</v>
      </c>
      <c r="D5" s="6" t="s">
        <v>154</v>
      </c>
      <c r="E5" s="6" t="s">
        <v>155</v>
      </c>
      <c r="F5" s="6" t="s">
        <v>44</v>
      </c>
      <c r="G5" s="6" t="s">
        <v>156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7" t="s">
        <v>157</v>
      </c>
      <c r="B6" s="7" t="s">
        <v>158</v>
      </c>
      <c r="C6" s="7" t="s">
        <v>159</v>
      </c>
      <c r="D6" s="7" t="s">
        <v>160</v>
      </c>
      <c r="E6" s="7" t="s">
        <v>161</v>
      </c>
      <c r="F6" s="9" t="s">
        <v>50</v>
      </c>
      <c r="G6" s="7" t="s">
        <v>162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8" t="s">
        <v>163</v>
      </c>
      <c r="B7" s="8" t="s">
        <v>164</v>
      </c>
      <c r="C7" s="8" t="s">
        <v>165</v>
      </c>
      <c r="D7" s="8" t="s">
        <v>166</v>
      </c>
      <c r="E7" s="8" t="s">
        <v>167</v>
      </c>
      <c r="F7" s="9" t="s">
        <v>50</v>
      </c>
      <c r="G7" s="8" t="s">
        <v>168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7" t="s">
        <v>169</v>
      </c>
      <c r="B8" s="7" t="s">
        <v>9</v>
      </c>
      <c r="C8" s="7" t="s">
        <v>170</v>
      </c>
      <c r="D8" s="7" t="s">
        <v>171</v>
      </c>
      <c r="E8" s="7" t="s">
        <v>172</v>
      </c>
      <c r="F8" s="9" t="s">
        <v>50</v>
      </c>
      <c r="G8" s="7" t="s">
        <v>173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8" t="s">
        <v>174</v>
      </c>
      <c r="B9" s="8" t="s">
        <v>175</v>
      </c>
      <c r="C9" s="8" t="s">
        <v>176</v>
      </c>
      <c r="D9" s="8" t="s">
        <v>177</v>
      </c>
      <c r="E9" s="8" t="s">
        <v>178</v>
      </c>
      <c r="F9" s="9" t="s">
        <v>50</v>
      </c>
      <c r="G9" s="8" t="s">
        <v>179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7" t="s">
        <v>180</v>
      </c>
      <c r="B10" s="7" t="s">
        <v>181</v>
      </c>
      <c r="C10" s="7" t="s">
        <v>182</v>
      </c>
      <c r="D10" s="7" t="s">
        <v>183</v>
      </c>
      <c r="E10" s="7" t="s">
        <v>184</v>
      </c>
      <c r="F10" s="9" t="s">
        <v>50</v>
      </c>
      <c r="G10" s="7" t="s">
        <v>185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8" t="s">
        <v>186</v>
      </c>
      <c r="B11" s="8" t="s">
        <v>187</v>
      </c>
      <c r="C11" s="8" t="s">
        <v>188</v>
      </c>
      <c r="D11" s="8" t="s">
        <v>189</v>
      </c>
      <c r="E11" s="8" t="s">
        <v>190</v>
      </c>
      <c r="F11" s="9" t="s">
        <v>50</v>
      </c>
      <c r="G11" s="8" t="s">
        <v>191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7" t="s">
        <v>192</v>
      </c>
      <c r="B12" s="7" t="s">
        <v>193</v>
      </c>
      <c r="C12" s="7" t="s">
        <v>194</v>
      </c>
      <c r="D12" s="7" t="s">
        <v>195</v>
      </c>
      <c r="E12" s="7" t="s">
        <v>196</v>
      </c>
      <c r="F12" s="9" t="s">
        <v>50</v>
      </c>
      <c r="G12" s="7" t="s">
        <v>197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8" t="s">
        <v>198</v>
      </c>
      <c r="B13" s="8" t="s">
        <v>199</v>
      </c>
      <c r="C13" s="8" t="s">
        <v>200</v>
      </c>
      <c r="D13" s="8" t="s">
        <v>201</v>
      </c>
      <c r="E13" s="8" t="s">
        <v>202</v>
      </c>
      <c r="F13" s="9" t="s">
        <v>50</v>
      </c>
      <c r="G13" s="8" t="s">
        <v>203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7" t="s">
        <v>204</v>
      </c>
      <c r="B14" s="7" t="s">
        <v>205</v>
      </c>
      <c r="C14" s="7" t="s">
        <v>206</v>
      </c>
      <c r="D14" s="7" t="s">
        <v>207</v>
      </c>
      <c r="E14" s="7" t="s">
        <v>208</v>
      </c>
      <c r="F14" s="9" t="s">
        <v>50</v>
      </c>
      <c r="G14" s="7" t="s">
        <v>209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" customHeight="1">
      <c r="A15" s="8" t="s">
        <v>210</v>
      </c>
      <c r="B15" s="8" t="s">
        <v>211</v>
      </c>
      <c r="C15" s="8" t="s">
        <v>212</v>
      </c>
      <c r="D15" s="8" t="s">
        <v>213</v>
      </c>
      <c r="E15" s="8" t="s">
        <v>214</v>
      </c>
      <c r="F15" s="9" t="s">
        <v>50</v>
      </c>
      <c r="G15" s="8" t="s">
        <v>215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7" t="s">
        <v>216</v>
      </c>
      <c r="B16" s="7" t="s">
        <v>217</v>
      </c>
      <c r="C16" s="7" t="s">
        <v>218</v>
      </c>
      <c r="D16" s="7" t="s">
        <v>219</v>
      </c>
      <c r="E16" s="7" t="s">
        <v>220</v>
      </c>
      <c r="F16" s="9" t="s">
        <v>50</v>
      </c>
      <c r="G16" s="7" t="s">
        <v>221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8" t="s">
        <v>222</v>
      </c>
      <c r="B17" s="8" t="s">
        <v>82</v>
      </c>
      <c r="C17" s="8" t="s">
        <v>223</v>
      </c>
      <c r="D17" s="8" t="s">
        <v>224</v>
      </c>
      <c r="E17" s="8" t="s">
        <v>225</v>
      </c>
      <c r="F17" s="9" t="s">
        <v>50</v>
      </c>
      <c r="G17" s="8" t="s">
        <v>226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7" t="s">
        <v>227</v>
      </c>
      <c r="B18" s="7" t="s">
        <v>228</v>
      </c>
      <c r="C18" s="7" t="s">
        <v>229</v>
      </c>
      <c r="D18" s="7" t="s">
        <v>230</v>
      </c>
      <c r="E18" s="7" t="s">
        <v>231</v>
      </c>
      <c r="F18" s="9" t="s">
        <v>50</v>
      </c>
      <c r="G18" s="7" t="s">
        <v>232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8" t="s">
        <v>233</v>
      </c>
      <c r="B19" s="8" t="s">
        <v>234</v>
      </c>
      <c r="C19" s="8" t="s">
        <v>235</v>
      </c>
      <c r="D19" s="8" t="s">
        <v>236</v>
      </c>
      <c r="E19" s="8" t="s">
        <v>237</v>
      </c>
      <c r="F19" s="9" t="s">
        <v>50</v>
      </c>
      <c r="G19" s="8" t="s">
        <v>209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7" t="s">
        <v>238</v>
      </c>
      <c r="B20" s="7" t="s">
        <v>239</v>
      </c>
      <c r="C20" s="7" t="s">
        <v>240</v>
      </c>
      <c r="D20" s="7" t="s">
        <v>241</v>
      </c>
      <c r="E20" s="7" t="s">
        <v>242</v>
      </c>
      <c r="F20" s="9" t="s">
        <v>50</v>
      </c>
      <c r="G20" s="7" t="s">
        <v>243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8" t="s">
        <v>244</v>
      </c>
      <c r="B21" s="8" t="s">
        <v>245</v>
      </c>
      <c r="C21" s="8" t="s">
        <v>246</v>
      </c>
      <c r="D21" s="8" t="s">
        <v>247</v>
      </c>
      <c r="E21" s="8" t="s">
        <v>248</v>
      </c>
      <c r="F21" s="9" t="s">
        <v>50</v>
      </c>
      <c r="G21" s="8" t="s">
        <v>249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7" t="s">
        <v>250</v>
      </c>
      <c r="B22" s="7" t="s">
        <v>251</v>
      </c>
      <c r="C22" s="7" t="s">
        <v>252</v>
      </c>
      <c r="D22" s="7" t="s">
        <v>253</v>
      </c>
      <c r="E22" s="7" t="s">
        <v>254</v>
      </c>
      <c r="F22" s="9" t="s">
        <v>50</v>
      </c>
      <c r="G22" s="7" t="s">
        <v>215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8" t="s">
        <v>255</v>
      </c>
      <c r="B23" s="8" t="s">
        <v>256</v>
      </c>
      <c r="C23" s="8" t="s">
        <v>257</v>
      </c>
      <c r="D23" s="8" t="s">
        <v>258</v>
      </c>
      <c r="E23" s="8" t="s">
        <v>259</v>
      </c>
      <c r="F23" s="9" t="s">
        <v>50</v>
      </c>
      <c r="G23" s="8" t="s">
        <v>260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customHeight="1">
      <c r="A24" s="7" t="s">
        <v>261</v>
      </c>
      <c r="B24" s="7" t="s">
        <v>262</v>
      </c>
      <c r="C24" s="7" t="s">
        <v>263</v>
      </c>
      <c r="D24" s="7" t="s">
        <v>264</v>
      </c>
      <c r="E24" s="7" t="s">
        <v>265</v>
      </c>
      <c r="F24" s="9" t="s">
        <v>50</v>
      </c>
      <c r="G24" s="7" t="s">
        <v>266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8" t="s">
        <v>267</v>
      </c>
      <c r="B25" s="8" t="s">
        <v>268</v>
      </c>
      <c r="C25" s="8" t="s">
        <v>269</v>
      </c>
      <c r="D25" s="8" t="s">
        <v>270</v>
      </c>
      <c r="E25" s="8" t="s">
        <v>271</v>
      </c>
      <c r="F25" s="9" t="s">
        <v>50</v>
      </c>
      <c r="G25" s="8" t="s">
        <v>272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7" t="s">
        <v>273</v>
      </c>
      <c r="B26" s="7" t="s">
        <v>268</v>
      </c>
      <c r="C26" s="7" t="s">
        <v>274</v>
      </c>
      <c r="D26" s="7" t="s">
        <v>275</v>
      </c>
      <c r="E26" s="7" t="s">
        <v>276</v>
      </c>
      <c r="F26" s="9" t="s">
        <v>50</v>
      </c>
      <c r="G26" s="7" t="s">
        <v>277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customHeight="1">
      <c r="A27" s="8" t="s">
        <v>278</v>
      </c>
      <c r="B27" s="8" t="s">
        <v>279</v>
      </c>
      <c r="C27" s="8" t="s">
        <v>280</v>
      </c>
      <c r="D27" s="8" t="s">
        <v>281</v>
      </c>
      <c r="E27" s="8" t="s">
        <v>282</v>
      </c>
      <c r="F27" s="9" t="s">
        <v>50</v>
      </c>
      <c r="G27" s="8" t="s">
        <v>283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7" t="s">
        <v>284</v>
      </c>
      <c r="B28" s="7" t="s">
        <v>127</v>
      </c>
      <c r="C28" s="7" t="s">
        <v>285</v>
      </c>
      <c r="D28" s="7" t="s">
        <v>286</v>
      </c>
      <c r="E28" s="7" t="s">
        <v>287</v>
      </c>
      <c r="F28" s="9" t="s">
        <v>50</v>
      </c>
      <c r="G28" s="7" t="s">
        <v>288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8" t="s">
        <v>289</v>
      </c>
      <c r="B29" s="8" t="s">
        <v>290</v>
      </c>
      <c r="C29" s="8" t="s">
        <v>291</v>
      </c>
      <c r="D29" s="8" t="s">
        <v>292</v>
      </c>
      <c r="E29" s="8" t="s">
        <v>293</v>
      </c>
      <c r="F29" s="9" t="s">
        <v>50</v>
      </c>
      <c r="G29" s="8" t="s">
        <v>209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1" customHeight="1">
      <c r="A30" s="7" t="s">
        <v>294</v>
      </c>
      <c r="B30" s="7" t="s">
        <v>295</v>
      </c>
      <c r="C30" s="7" t="s">
        <v>296</v>
      </c>
      <c r="D30" s="7" t="s">
        <v>297</v>
      </c>
      <c r="E30" s="7" t="s">
        <v>298</v>
      </c>
      <c r="F30" s="9" t="s">
        <v>50</v>
      </c>
      <c r="G30" s="7" t="s">
        <v>299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8" t="s">
        <v>300</v>
      </c>
      <c r="B31" s="8" t="s">
        <v>301</v>
      </c>
      <c r="C31" s="8" t="s">
        <v>302</v>
      </c>
      <c r="D31" s="8" t="s">
        <v>303</v>
      </c>
      <c r="E31" s="8" t="s">
        <v>304</v>
      </c>
      <c r="F31" s="9" t="s">
        <v>50</v>
      </c>
      <c r="G31" s="8" t="s">
        <v>305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7" t="s">
        <v>306</v>
      </c>
      <c r="B32" s="7" t="s">
        <v>307</v>
      </c>
      <c r="C32" s="7" t="s">
        <v>308</v>
      </c>
      <c r="D32" s="7" t="s">
        <v>309</v>
      </c>
      <c r="E32" s="7" t="s">
        <v>310</v>
      </c>
      <c r="F32" s="9" t="s">
        <v>50</v>
      </c>
      <c r="G32" s="7" t="s">
        <v>266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8" t="s">
        <v>311</v>
      </c>
      <c r="B33" s="8" t="s">
        <v>312</v>
      </c>
      <c r="C33" s="8" t="s">
        <v>313</v>
      </c>
      <c r="D33" s="8" t="s">
        <v>314</v>
      </c>
      <c r="E33" s="8" t="s">
        <v>315</v>
      </c>
      <c r="F33" s="9" t="s">
        <v>50</v>
      </c>
      <c r="G33" s="8" t="s">
        <v>316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>
      <c r="A34" s="7" t="s">
        <v>317</v>
      </c>
      <c r="B34" s="7" t="s">
        <v>318</v>
      </c>
      <c r="C34" s="7" t="s">
        <v>319</v>
      </c>
      <c r="D34" s="7" t="s">
        <v>320</v>
      </c>
      <c r="E34" s="7" t="s">
        <v>321</v>
      </c>
      <c r="F34" s="9" t="s">
        <v>50</v>
      </c>
      <c r="G34" s="7" t="s">
        <v>322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8" t="s">
        <v>323</v>
      </c>
      <c r="B35" s="8" t="s">
        <v>324</v>
      </c>
      <c r="C35" s="8" t="s">
        <v>319</v>
      </c>
      <c r="D35" s="8" t="s">
        <v>325</v>
      </c>
      <c r="E35" s="8" t="s">
        <v>326</v>
      </c>
      <c r="F35" s="9" t="s">
        <v>50</v>
      </c>
      <c r="G35" s="8" t="s">
        <v>322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 customHeight="1">
      <c r="A36" s="7" t="s">
        <v>327</v>
      </c>
      <c r="B36" s="7" t="s">
        <v>328</v>
      </c>
      <c r="C36" s="7" t="s">
        <v>329</v>
      </c>
      <c r="D36" s="7" t="s">
        <v>330</v>
      </c>
      <c r="E36" s="7" t="s">
        <v>331</v>
      </c>
      <c r="F36" s="9" t="s">
        <v>50</v>
      </c>
      <c r="G36" s="7" t="s">
        <v>332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8" t="s">
        <v>333</v>
      </c>
      <c r="B37" s="8" t="s">
        <v>334</v>
      </c>
      <c r="C37" s="8" t="s">
        <v>335</v>
      </c>
      <c r="D37" s="8" t="s">
        <v>336</v>
      </c>
      <c r="E37" s="8" t="s">
        <v>337</v>
      </c>
      <c r="F37" s="9" t="s">
        <v>50</v>
      </c>
      <c r="G37" s="8" t="s">
        <v>338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7" t="s">
        <v>339</v>
      </c>
      <c r="B38" s="7" t="s">
        <v>340</v>
      </c>
      <c r="C38" s="7" t="s">
        <v>341</v>
      </c>
      <c r="D38" s="7" t="s">
        <v>342</v>
      </c>
      <c r="E38" s="7" t="s">
        <v>343</v>
      </c>
      <c r="F38" s="9" t="s">
        <v>50</v>
      </c>
      <c r="G38" s="7" t="s">
        <v>344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8" t="s">
        <v>345</v>
      </c>
      <c r="B39" s="8" t="s">
        <v>346</v>
      </c>
      <c r="C39" s="8" t="s">
        <v>347</v>
      </c>
      <c r="D39" s="8" t="s">
        <v>348</v>
      </c>
      <c r="E39" s="8" t="s">
        <v>349</v>
      </c>
      <c r="F39" s="9" t="s">
        <v>50</v>
      </c>
      <c r="G39" s="8" t="s">
        <v>350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7" t="s">
        <v>351</v>
      </c>
      <c r="B40" s="7" t="s">
        <v>11</v>
      </c>
      <c r="C40" s="7" t="s">
        <v>352</v>
      </c>
      <c r="D40" s="7" t="s">
        <v>353</v>
      </c>
      <c r="E40" s="7" t="s">
        <v>354</v>
      </c>
      <c r="F40" s="9" t="s">
        <v>50</v>
      </c>
      <c r="G40" s="7" t="s">
        <v>355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8" t="s">
        <v>356</v>
      </c>
      <c r="B41" s="8" t="s">
        <v>357</v>
      </c>
      <c r="C41" s="8" t="s">
        <v>358</v>
      </c>
      <c r="D41" s="8" t="s">
        <v>359</v>
      </c>
      <c r="E41" s="8" t="s">
        <v>360</v>
      </c>
      <c r="F41" s="9" t="s">
        <v>50</v>
      </c>
      <c r="G41" s="8" t="s">
        <v>361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7" t="s">
        <v>362</v>
      </c>
      <c r="B42" s="7" t="s">
        <v>363</v>
      </c>
      <c r="C42" s="7" t="s">
        <v>358</v>
      </c>
      <c r="D42" s="7" t="s">
        <v>364</v>
      </c>
      <c r="E42" s="7" t="s">
        <v>365</v>
      </c>
      <c r="F42" s="9" t="s">
        <v>50</v>
      </c>
      <c r="G42" s="7" t="s">
        <v>366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8" t="s">
        <v>367</v>
      </c>
      <c r="B43" s="8" t="s">
        <v>368</v>
      </c>
      <c r="C43" s="8" t="s">
        <v>358</v>
      </c>
      <c r="D43" s="8" t="s">
        <v>369</v>
      </c>
      <c r="E43" s="8" t="s">
        <v>370</v>
      </c>
      <c r="F43" s="9" t="s">
        <v>50</v>
      </c>
      <c r="G43" s="8" t="s">
        <v>371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7" t="s">
        <v>372</v>
      </c>
      <c r="B44" s="7" t="s">
        <v>373</v>
      </c>
      <c r="C44" s="7" t="s">
        <v>374</v>
      </c>
      <c r="D44" s="7" t="s">
        <v>375</v>
      </c>
      <c r="E44" s="7" t="s">
        <v>376</v>
      </c>
      <c r="F44" s="9" t="s">
        <v>50</v>
      </c>
      <c r="G44" s="7" t="s">
        <v>377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8" t="s">
        <v>378</v>
      </c>
      <c r="B45" s="8" t="s">
        <v>379</v>
      </c>
      <c r="C45" s="8" t="s">
        <v>380</v>
      </c>
      <c r="D45" s="8" t="s">
        <v>381</v>
      </c>
      <c r="E45" s="8" t="s">
        <v>382</v>
      </c>
      <c r="F45" s="9" t="s">
        <v>50</v>
      </c>
      <c r="G45" s="8" t="s">
        <v>383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58B8"/>
  </sheetPr>
  <dimension ref="A1:Z200"/>
  <sheetViews>
    <sheetView showGridLines="0" workbookViewId="0">
      <pane ySplit="5" topLeftCell="A12" activePane="bottomLeft" state="frozen"/>
      <selection pane="bottomLeft"/>
    </sheetView>
  </sheetViews>
  <sheetFormatPr defaultRowHeight="14"/>
  <cols>
    <col min="1" max="1" width="14" customWidth="1"/>
    <col min="2" max="2" width="15" customWidth="1"/>
    <col min="3" max="3" width="22" customWidth="1"/>
    <col min="4" max="4" width="23" customWidth="1"/>
    <col min="5" max="5" width="40" customWidth="1"/>
    <col min="6" max="6" width="50" customWidth="1"/>
    <col min="7" max="7" width="18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5" customHeight="1">
      <c r="A2" s="13" t="s">
        <v>384</v>
      </c>
      <c r="B2" s="14"/>
      <c r="C2" s="14"/>
      <c r="D2" s="14"/>
      <c r="E2" s="14"/>
      <c r="F2" s="14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2"/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6" t="s">
        <v>385</v>
      </c>
      <c r="B5" s="6" t="s">
        <v>193</v>
      </c>
      <c r="C5" s="6" t="s">
        <v>386</v>
      </c>
      <c r="D5" s="6" t="s">
        <v>387</v>
      </c>
      <c r="E5" s="6" t="s">
        <v>388</v>
      </c>
      <c r="F5" s="6" t="s">
        <v>389</v>
      </c>
      <c r="G5" s="6" t="s">
        <v>44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7">
        <v>26</v>
      </c>
      <c r="B6" s="7" t="s">
        <v>390</v>
      </c>
      <c r="C6" s="7" t="s">
        <v>391</v>
      </c>
      <c r="D6" s="7" t="s">
        <v>392</v>
      </c>
      <c r="E6" s="7" t="s">
        <v>393</v>
      </c>
      <c r="F6" s="7" t="s">
        <v>394</v>
      </c>
      <c r="G6" s="10" t="s">
        <v>395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8">
        <v>50</v>
      </c>
      <c r="B7" s="8" t="s">
        <v>396</v>
      </c>
      <c r="C7" s="8" t="s">
        <v>397</v>
      </c>
      <c r="D7" s="8" t="s">
        <v>398</v>
      </c>
      <c r="E7" s="8" t="s">
        <v>399</v>
      </c>
      <c r="F7" s="8" t="s">
        <v>400</v>
      </c>
      <c r="G7" s="10" t="s">
        <v>401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7">
        <v>79</v>
      </c>
      <c r="B8" s="7" t="s">
        <v>402</v>
      </c>
      <c r="C8" s="7" t="s">
        <v>403</v>
      </c>
      <c r="D8" s="7" t="s">
        <v>404</v>
      </c>
      <c r="E8" s="7" t="s">
        <v>405</v>
      </c>
      <c r="F8" s="7" t="s">
        <v>406</v>
      </c>
      <c r="G8" s="10" t="s">
        <v>401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8">
        <v>155</v>
      </c>
      <c r="B9" s="8" t="s">
        <v>407</v>
      </c>
      <c r="C9" s="8" t="s">
        <v>408</v>
      </c>
      <c r="D9" s="8" t="s">
        <v>409</v>
      </c>
      <c r="E9" s="8" t="s">
        <v>410</v>
      </c>
      <c r="F9" s="8" t="s">
        <v>411</v>
      </c>
      <c r="G9" s="10" t="s">
        <v>412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7">
        <v>173</v>
      </c>
      <c r="B10" s="7" t="s">
        <v>413</v>
      </c>
      <c r="C10" s="7" t="s">
        <v>409</v>
      </c>
      <c r="D10" s="7" t="s">
        <v>414</v>
      </c>
      <c r="E10" s="7" t="s">
        <v>415</v>
      </c>
      <c r="F10" s="7" t="s">
        <v>416</v>
      </c>
      <c r="G10" s="10" t="s">
        <v>401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5" customHeight="1">
      <c r="A11" s="8">
        <v>189</v>
      </c>
      <c r="B11" s="8" t="s">
        <v>417</v>
      </c>
      <c r="C11" s="8" t="s">
        <v>418</v>
      </c>
      <c r="D11" s="8" t="s">
        <v>419</v>
      </c>
      <c r="E11" s="8" t="s">
        <v>420</v>
      </c>
      <c r="F11" s="8" t="s">
        <v>421</v>
      </c>
      <c r="G11" s="10" t="s">
        <v>422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7">
        <v>195</v>
      </c>
      <c r="B12" s="7" t="s">
        <v>423</v>
      </c>
      <c r="C12" s="7" t="s">
        <v>424</v>
      </c>
      <c r="D12" s="7" t="s">
        <v>409</v>
      </c>
      <c r="E12" s="7" t="s">
        <v>425</v>
      </c>
      <c r="F12" s="7" t="s">
        <v>426</v>
      </c>
      <c r="G12" s="10" t="s">
        <v>401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8">
        <v>201</v>
      </c>
      <c r="B13" s="8" t="s">
        <v>427</v>
      </c>
      <c r="C13" s="8" t="s">
        <v>404</v>
      </c>
      <c r="D13" s="8" t="s">
        <v>428</v>
      </c>
      <c r="E13" s="8" t="s">
        <v>429</v>
      </c>
      <c r="F13" s="8" t="s">
        <v>430</v>
      </c>
      <c r="G13" s="10" t="s">
        <v>412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7">
        <v>209</v>
      </c>
      <c r="B14" s="7" t="s">
        <v>431</v>
      </c>
      <c r="C14" s="7" t="s">
        <v>432</v>
      </c>
      <c r="D14" s="7" t="s">
        <v>404</v>
      </c>
      <c r="E14" s="7" t="s">
        <v>405</v>
      </c>
      <c r="F14" s="7" t="s">
        <v>433</v>
      </c>
      <c r="G14" s="10" t="s">
        <v>401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8">
        <v>210</v>
      </c>
      <c r="B15" s="8" t="s">
        <v>434</v>
      </c>
      <c r="C15" s="8" t="s">
        <v>435</v>
      </c>
      <c r="D15" s="8" t="s">
        <v>436</v>
      </c>
      <c r="E15" s="8" t="s">
        <v>437</v>
      </c>
      <c r="F15" s="8" t="s">
        <v>400</v>
      </c>
      <c r="G15" s="10" t="s">
        <v>401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7">
        <v>230</v>
      </c>
      <c r="B16" s="7" t="s">
        <v>438</v>
      </c>
      <c r="C16" s="7" t="s">
        <v>439</v>
      </c>
      <c r="D16" s="7" t="s">
        <v>440</v>
      </c>
      <c r="E16" s="7" t="s">
        <v>393</v>
      </c>
      <c r="F16" s="7" t="s">
        <v>394</v>
      </c>
      <c r="G16" s="10" t="s">
        <v>395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8">
        <v>237</v>
      </c>
      <c r="B17" s="8" t="s">
        <v>441</v>
      </c>
      <c r="C17" s="8" t="s">
        <v>442</v>
      </c>
      <c r="D17" s="8" t="s">
        <v>443</v>
      </c>
      <c r="E17" s="8" t="s">
        <v>393</v>
      </c>
      <c r="F17" s="8" t="s">
        <v>444</v>
      </c>
      <c r="G17" s="10" t="s">
        <v>395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>
      <c r="A18" s="7">
        <v>258</v>
      </c>
      <c r="B18" s="7" t="s">
        <v>445</v>
      </c>
      <c r="C18" s="7" t="s">
        <v>446</v>
      </c>
      <c r="D18" s="7" t="s">
        <v>447</v>
      </c>
      <c r="E18" s="7" t="s">
        <v>448</v>
      </c>
      <c r="F18" s="7" t="s">
        <v>449</v>
      </c>
      <c r="G18" s="10" t="s">
        <v>422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8">
        <v>261</v>
      </c>
      <c r="B19" s="8" t="s">
        <v>450</v>
      </c>
      <c r="C19" s="8" t="s">
        <v>451</v>
      </c>
      <c r="D19" s="8" t="s">
        <v>452</v>
      </c>
      <c r="E19" s="8" t="s">
        <v>453</v>
      </c>
      <c r="F19" s="8" t="s">
        <v>454</v>
      </c>
      <c r="G19" s="10" t="s">
        <v>395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7">
        <v>270</v>
      </c>
      <c r="B20" s="7" t="s">
        <v>455</v>
      </c>
      <c r="C20" s="7" t="s">
        <v>404</v>
      </c>
      <c r="D20" s="7" t="s">
        <v>456</v>
      </c>
      <c r="E20" s="7" t="s">
        <v>429</v>
      </c>
      <c r="F20" s="7" t="s">
        <v>457</v>
      </c>
      <c r="G20" s="10" t="s">
        <v>412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58B8"/>
  </sheetPr>
  <dimension ref="A1:Z200"/>
  <sheetViews>
    <sheetView showGridLines="0" workbookViewId="0">
      <pane ySplit="5" topLeftCell="A17" activePane="bottomLeft" state="frozen"/>
      <selection pane="bottomLeft" activeCell="A2" sqref="A2:F2"/>
    </sheetView>
  </sheetViews>
  <sheetFormatPr defaultRowHeight="14"/>
  <cols>
    <col min="1" max="1" width="20" customWidth="1"/>
    <col min="2" max="2" width="24" customWidth="1"/>
    <col min="3" max="3" width="55" customWidth="1"/>
    <col min="4" max="4" width="48" customWidth="1"/>
    <col min="5" max="6" width="1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5" customHeight="1">
      <c r="A2" s="13" t="s">
        <v>458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6" t="s">
        <v>459</v>
      </c>
      <c r="B5" s="6" t="s">
        <v>460</v>
      </c>
      <c r="C5" s="6" t="s">
        <v>43</v>
      </c>
      <c r="D5" s="6" t="s">
        <v>461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7" t="s">
        <v>462</v>
      </c>
      <c r="B6" s="11">
        <v>1</v>
      </c>
      <c r="C6" s="7" t="s">
        <v>463</v>
      </c>
      <c r="D6" s="7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8" t="s">
        <v>464</v>
      </c>
      <c r="B7" s="12">
        <v>1</v>
      </c>
      <c r="C7" s="8" t="s">
        <v>465</v>
      </c>
      <c r="D7" s="8" t="s">
        <v>466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7" t="s">
        <v>467</v>
      </c>
      <c r="B8" s="11">
        <v>130</v>
      </c>
      <c r="C8" s="7" t="s">
        <v>468</v>
      </c>
      <c r="D8" s="7" t="s">
        <v>588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8" t="s">
        <v>469</v>
      </c>
      <c r="B9" s="12">
        <v>150</v>
      </c>
      <c r="C9" s="8" t="s">
        <v>468</v>
      </c>
      <c r="D9" s="8" t="s">
        <v>588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7" t="s">
        <v>470</v>
      </c>
      <c r="B10" s="11">
        <v>7.5</v>
      </c>
      <c r="C10" s="7" t="s">
        <v>468</v>
      </c>
      <c r="D10" s="7" t="s">
        <v>588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8" t="s">
        <v>471</v>
      </c>
      <c r="B11" s="12">
        <v>130</v>
      </c>
      <c r="C11" s="8" t="s">
        <v>472</v>
      </c>
      <c r="D11" s="8" t="s">
        <v>473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6" t="s">
        <v>474</v>
      </c>
      <c r="B14" s="6" t="s">
        <v>475</v>
      </c>
      <c r="C14" s="6" t="s">
        <v>476</v>
      </c>
      <c r="D14" s="6" t="s">
        <v>155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7" t="s">
        <v>477</v>
      </c>
      <c r="B15" s="7" t="s">
        <v>478</v>
      </c>
      <c r="C15" s="7" t="s">
        <v>479</v>
      </c>
      <c r="D15" s="7" t="s">
        <v>480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8" t="s">
        <v>481</v>
      </c>
      <c r="B16" s="8" t="s">
        <v>482</v>
      </c>
      <c r="C16" s="8" t="s">
        <v>483</v>
      </c>
      <c r="D16" s="8" t="s">
        <v>484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" customHeight="1">
      <c r="A17" s="7" t="s">
        <v>485</v>
      </c>
      <c r="B17" s="7" t="s">
        <v>486</v>
      </c>
      <c r="C17" s="7" t="s">
        <v>487</v>
      </c>
      <c r="D17" s="7" t="s">
        <v>488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8" t="s">
        <v>489</v>
      </c>
      <c r="B18" s="8" t="s">
        <v>490</v>
      </c>
      <c r="C18" s="8" t="s">
        <v>491</v>
      </c>
      <c r="D18" s="8" t="s">
        <v>492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7" t="s">
        <v>493</v>
      </c>
      <c r="B19" s="7" t="s">
        <v>494</v>
      </c>
      <c r="C19" s="7" t="s">
        <v>495</v>
      </c>
      <c r="D19" s="7" t="s">
        <v>496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8" t="s">
        <v>497</v>
      </c>
      <c r="B20" s="8" t="s">
        <v>498</v>
      </c>
      <c r="C20" s="8" t="s">
        <v>499</v>
      </c>
      <c r="D20" s="8" t="s">
        <v>500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7" t="s">
        <v>501</v>
      </c>
      <c r="B21" s="7" t="s">
        <v>502</v>
      </c>
      <c r="C21" s="7" t="s">
        <v>503</v>
      </c>
      <c r="D21" s="7" t="s">
        <v>504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8" t="s">
        <v>505</v>
      </c>
      <c r="B22" s="8" t="s">
        <v>506</v>
      </c>
      <c r="C22" s="8" t="s">
        <v>507</v>
      </c>
      <c r="D22" s="8" t="s">
        <v>508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>
      <c r="A23" s="7" t="s">
        <v>509</v>
      </c>
      <c r="B23" s="7" t="s">
        <v>510</v>
      </c>
      <c r="C23" s="7" t="s">
        <v>511</v>
      </c>
      <c r="D23" s="7" t="s">
        <v>512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8" t="s">
        <v>513</v>
      </c>
      <c r="B24" s="8" t="s">
        <v>514</v>
      </c>
      <c r="C24" s="8" t="s">
        <v>515</v>
      </c>
      <c r="D24" s="8" t="s">
        <v>516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5" t="s">
        <v>517</v>
      </c>
      <c r="B27" s="15"/>
      <c r="C27" s="15"/>
      <c r="D27" s="15"/>
      <c r="E27" s="15"/>
      <c r="F27" s="1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5"/>
      <c r="B28" s="15"/>
      <c r="C28" s="15"/>
      <c r="D28" s="15"/>
      <c r="E28" s="15"/>
      <c r="F28" s="1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5"/>
      <c r="B29" s="15"/>
      <c r="C29" s="15"/>
      <c r="D29" s="15"/>
      <c r="E29" s="15"/>
      <c r="F29" s="1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2:F2"/>
    <mergeCell ref="A27:F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Z200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10" customWidth="1"/>
    <col min="2" max="2" width="28" customWidth="1"/>
    <col min="3" max="3" width="38" customWidth="1"/>
    <col min="4" max="4" width="55" customWidth="1"/>
    <col min="5" max="5" width="22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5" customHeight="1">
      <c r="A2" s="13" t="s">
        <v>518</v>
      </c>
      <c r="B2" s="14"/>
      <c r="C2" s="14"/>
      <c r="D2" s="14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2"/>
      <c r="B3" s="2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6" t="s">
        <v>39</v>
      </c>
      <c r="B5" s="6" t="s">
        <v>519</v>
      </c>
      <c r="C5" s="6" t="s">
        <v>520</v>
      </c>
      <c r="D5" s="6" t="s">
        <v>521</v>
      </c>
      <c r="E5" s="6" t="s">
        <v>44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7" t="s">
        <v>522</v>
      </c>
      <c r="B6" s="7" t="s">
        <v>523</v>
      </c>
      <c r="C6" s="7" t="s">
        <v>524</v>
      </c>
      <c r="D6" s="7" t="s">
        <v>525</v>
      </c>
      <c r="E6" s="9" t="s">
        <v>24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8" t="s">
        <v>526</v>
      </c>
      <c r="B7" s="8" t="s">
        <v>527</v>
      </c>
      <c r="C7" s="8" t="s">
        <v>528</v>
      </c>
      <c r="D7" s="8" t="s">
        <v>529</v>
      </c>
      <c r="E7" s="9" t="s">
        <v>24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7" t="s">
        <v>530</v>
      </c>
      <c r="B8" s="7" t="s">
        <v>46</v>
      </c>
      <c r="C8" s="7" t="s">
        <v>531</v>
      </c>
      <c r="D8" s="7" t="s">
        <v>532</v>
      </c>
      <c r="E8" s="9" t="s">
        <v>24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8" t="s">
        <v>533</v>
      </c>
      <c r="B9" s="8" t="s">
        <v>534</v>
      </c>
      <c r="C9" s="8" t="s">
        <v>535</v>
      </c>
      <c r="D9" s="8" t="s">
        <v>536</v>
      </c>
      <c r="E9" s="9" t="s">
        <v>24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7" t="s">
        <v>537</v>
      </c>
      <c r="B10" s="7" t="s">
        <v>538</v>
      </c>
      <c r="C10" s="7" t="s">
        <v>539</v>
      </c>
      <c r="D10" s="7" t="s">
        <v>332</v>
      </c>
      <c r="E10" s="10" t="s">
        <v>30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8" t="s">
        <v>540</v>
      </c>
      <c r="B11" s="8" t="s">
        <v>346</v>
      </c>
      <c r="C11" s="8" t="s">
        <v>541</v>
      </c>
      <c r="D11" s="8" t="s">
        <v>542</v>
      </c>
      <c r="E11" s="10" t="s">
        <v>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7" t="s">
        <v>543</v>
      </c>
      <c r="B12" s="7" t="s">
        <v>544</v>
      </c>
      <c r="C12" s="7" t="s">
        <v>545</v>
      </c>
      <c r="D12" s="7" t="s">
        <v>546</v>
      </c>
      <c r="E12" s="9" t="s">
        <v>24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8" t="s">
        <v>547</v>
      </c>
      <c r="B13" s="8" t="s">
        <v>548</v>
      </c>
      <c r="C13" s="8" t="s">
        <v>549</v>
      </c>
      <c r="D13" s="8" t="s">
        <v>550</v>
      </c>
      <c r="E13" s="9" t="s">
        <v>24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7" t="s">
        <v>551</v>
      </c>
      <c r="B14" s="7" t="s">
        <v>552</v>
      </c>
      <c r="C14" s="7" t="s">
        <v>553</v>
      </c>
      <c r="D14" s="7" t="s">
        <v>554</v>
      </c>
      <c r="E14" s="9" t="s">
        <v>24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8" t="s">
        <v>555</v>
      </c>
      <c r="B15" s="8" t="s">
        <v>556</v>
      </c>
      <c r="C15" s="8" t="s">
        <v>557</v>
      </c>
      <c r="D15" s="8" t="s">
        <v>558</v>
      </c>
      <c r="E15" s="9" t="s">
        <v>24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7" t="s">
        <v>559</v>
      </c>
      <c r="B16" s="7" t="s">
        <v>560</v>
      </c>
      <c r="C16" s="7" t="s">
        <v>561</v>
      </c>
      <c r="D16" s="7" t="s">
        <v>562</v>
      </c>
      <c r="E16" s="9" t="s">
        <v>24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8" t="s">
        <v>563</v>
      </c>
      <c r="B17" s="8" t="s">
        <v>564</v>
      </c>
      <c r="C17" s="8" t="s">
        <v>565</v>
      </c>
      <c r="D17" s="8" t="s">
        <v>566</v>
      </c>
      <c r="E17" s="9" t="s">
        <v>24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7" t="s">
        <v>567</v>
      </c>
      <c r="B18" s="7" t="s">
        <v>568</v>
      </c>
      <c r="C18" s="7" t="s">
        <v>569</v>
      </c>
      <c r="D18" s="7" t="s">
        <v>570</v>
      </c>
      <c r="E18" s="9" t="s">
        <v>24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8" t="s">
        <v>571</v>
      </c>
      <c r="B19" s="8" t="s">
        <v>572</v>
      </c>
      <c r="C19" s="8" t="s">
        <v>573</v>
      </c>
      <c r="D19" s="8" t="s">
        <v>574</v>
      </c>
      <c r="E19" s="9" t="s">
        <v>24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7" t="s">
        <v>575</v>
      </c>
      <c r="B20" s="7" t="s">
        <v>576</v>
      </c>
      <c r="C20" s="7" t="s">
        <v>577</v>
      </c>
      <c r="D20" s="7" t="s">
        <v>578</v>
      </c>
      <c r="E20" s="9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8" t="s">
        <v>579</v>
      </c>
      <c r="B21" s="8" t="s">
        <v>580</v>
      </c>
      <c r="C21" s="8" t="s">
        <v>581</v>
      </c>
      <c r="D21" s="8" t="s">
        <v>582</v>
      </c>
      <c r="E21" s="9" t="s">
        <v>24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7" t="s">
        <v>583</v>
      </c>
      <c r="B22" s="7" t="s">
        <v>584</v>
      </c>
      <c r="C22" s="7" t="s">
        <v>585</v>
      </c>
      <c r="D22" s="7" t="s">
        <v>586</v>
      </c>
      <c r="E22" s="9" t="s">
        <v>24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Data Quality Audit</vt:lpstr>
      <vt:lpstr>Transformation Log</vt:lpstr>
      <vt:lpstr>Date Decisions</vt:lpstr>
      <vt:lpstr>Assumptions and Rates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Nimrod</cp:lastModifiedBy>
  <dcterms:modified xsi:type="dcterms:W3CDTF">2026-09-25T15:56:10Z</dcterms:modified>
</cp:coreProperties>
</file>